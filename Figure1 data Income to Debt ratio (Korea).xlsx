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uyeonhwang/Desktop/Dissertation/Data/"/>
    </mc:Choice>
  </mc:AlternateContent>
  <xr:revisionPtr revIDLastSave="0" documentId="13_ncr:1_{4AF9660C-1743-494E-8EF7-E0C380DC5757}" xr6:coauthVersionLast="47" xr6:coauthVersionMax="47" xr10:uidLastSave="{00000000-0000-0000-0000-000000000000}"/>
  <bookViews>
    <workbookView xWindow="13180" yWindow="7400" windowWidth="26440" windowHeight="15440" xr2:uid="{6D02B96B-9FA7-964A-8CE6-D2F1A8BD5CC5}"/>
  </bookViews>
  <sheets>
    <sheet name="Sheet1" sheetId="1" r:id="rId1"/>
    <sheet name="출처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4" i="2"/>
</calcChain>
</file>

<file path=xl/sharedStrings.xml><?xml version="1.0" encoding="utf-8"?>
<sst xmlns="http://schemas.openxmlformats.org/spreadsheetml/2006/main" count="73" uniqueCount="73">
  <si>
    <r>
      <t>출처:</t>
    </r>
    <r>
      <rPr>
        <sz val="13"/>
        <color rgb="FF333333"/>
        <rFont val="Arial"/>
        <family val="2"/>
      </rPr>
      <t> OECD, 「OECD National Accounts」</t>
    </r>
  </si>
  <si>
    <t>* 자료: OECD, 「https://data-explorer.oecd.org, National Accounts at a Glance」 2024. 11</t>
  </si>
  <si>
    <t>Income to Debt ratio</t>
  </si>
  <si>
    <t>time</t>
  </si>
  <si>
    <t>income</t>
  </si>
  <si>
    <t>2008/Q1</t>
  </si>
  <si>
    <t>2008/Q2</t>
  </si>
  <si>
    <t>2008/Q3</t>
  </si>
  <si>
    <t>2008/Q4</t>
  </si>
  <si>
    <t>2009/Q1</t>
  </si>
  <si>
    <t>2009/Q2</t>
  </si>
  <si>
    <t>2009/Q3</t>
  </si>
  <si>
    <t>2009/Q4</t>
  </si>
  <si>
    <t>2010/Q1</t>
  </si>
  <si>
    <t>2010/Q2</t>
  </si>
  <si>
    <t>2010/Q3</t>
  </si>
  <si>
    <t>2010/Q4</t>
  </si>
  <si>
    <t>2011/Q1</t>
  </si>
  <si>
    <t>2011/Q2</t>
  </si>
  <si>
    <t>2011/Q3</t>
  </si>
  <si>
    <t>2011/Q4</t>
  </si>
  <si>
    <t>2012/Q1</t>
  </si>
  <si>
    <t>2012/Q2</t>
  </si>
  <si>
    <t>2012/Q3</t>
  </si>
  <si>
    <t>2012/Q4</t>
  </si>
  <si>
    <t>2013/Q1</t>
  </si>
  <si>
    <t>2013/Q2</t>
  </si>
  <si>
    <t>2013/Q3</t>
  </si>
  <si>
    <t>2013/Q4</t>
  </si>
  <si>
    <t>2014/Q1</t>
  </si>
  <si>
    <t>2014/Q2</t>
  </si>
  <si>
    <t>2014/Q3</t>
  </si>
  <si>
    <t>2014/Q4</t>
  </si>
  <si>
    <t>2015/Q1</t>
  </si>
  <si>
    <t>2015/Q2</t>
  </si>
  <si>
    <t>2015/Q3</t>
  </si>
  <si>
    <t>2015/Q4</t>
  </si>
  <si>
    <t>2016/Q1</t>
  </si>
  <si>
    <t>2016/Q2</t>
  </si>
  <si>
    <t>2016/Q3</t>
  </si>
  <si>
    <t>2016/Q4</t>
  </si>
  <si>
    <t>2017/Q1</t>
  </si>
  <si>
    <t>2017/Q2</t>
  </si>
  <si>
    <t>2017/Q3</t>
  </si>
  <si>
    <t>2017/Q4</t>
  </si>
  <si>
    <t>2018/Q1</t>
  </si>
  <si>
    <t>2018/Q2</t>
  </si>
  <si>
    <t>2018/Q3</t>
  </si>
  <si>
    <t>2018/Q4</t>
  </si>
  <si>
    <t>2019/Q1</t>
  </si>
  <si>
    <t>2019/Q2</t>
  </si>
  <si>
    <t>2019/Q3</t>
  </si>
  <si>
    <t>2019/Q4</t>
  </si>
  <si>
    <t>2020/Q1</t>
  </si>
  <si>
    <t>2020/Q2</t>
  </si>
  <si>
    <t>2020/Q3</t>
  </si>
  <si>
    <t>2020/Q4</t>
  </si>
  <si>
    <t>2021/Q1</t>
  </si>
  <si>
    <t>2021/Q2</t>
  </si>
  <si>
    <t>2021/Q3</t>
  </si>
  <si>
    <t>2021/Q4</t>
  </si>
  <si>
    <t>2022/Q1</t>
  </si>
  <si>
    <t>2022/Q2</t>
  </si>
  <si>
    <t>2022/Q3</t>
  </si>
  <si>
    <t>2022/Q4</t>
  </si>
  <si>
    <t>2023/Q1</t>
  </si>
  <si>
    <t>2023/Q2</t>
  </si>
  <si>
    <t>2023/Q3</t>
  </si>
  <si>
    <t>2023/Q4</t>
  </si>
  <si>
    <t>2024/Q1</t>
  </si>
  <si>
    <t>2024/Q2</t>
  </si>
  <si>
    <t>2024/Q3</t>
  </si>
  <si>
    <t>Loans to Resident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</si>
</sst>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171717"/>
      <name val="Arial"/>
      <family val="2"/>
    </font>
    <font>
      <sz val="12"/>
      <color rgb="FF444444"/>
      <name val="Arial"/>
      <family val="2"/>
    </font>
    <font>
      <sz val="13"/>
      <color rgb="FF333333"/>
      <name val="Arial"/>
      <family val="2"/>
    </font>
    <font>
      <b/>
      <sz val="13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BF4C5-B20B-1041-8EED-5A87934A197E}">
  <dimension ref="A1:D17"/>
  <sheetViews>
    <sheetView tabSelected="1" workbookViewId="0">
      <selection activeCell="G7" sqref="G7"/>
    </sheetView>
  </sheetViews>
  <sheetFormatPr baseColWidth="10" defaultRowHeight="16" x14ac:dyDescent="0.2"/>
  <cols>
    <col min="2" max="2" width="14" customWidth="1"/>
  </cols>
  <sheetData>
    <row r="1" spans="1:4" x14ac:dyDescent="0.2">
      <c r="A1" s="1" t="s">
        <v>3</v>
      </c>
      <c r="B1" s="1" t="s">
        <v>2</v>
      </c>
      <c r="C1" t="s">
        <v>4</v>
      </c>
      <c r="D1" t="s">
        <v>72</v>
      </c>
    </row>
    <row r="2" spans="1:4" x14ac:dyDescent="0.2">
      <c r="A2" s="1">
        <v>2008</v>
      </c>
      <c r="B2" s="2">
        <v>130.4</v>
      </c>
      <c r="C2" s="5">
        <v>1749</v>
      </c>
      <c r="D2">
        <v>3367306.4</v>
      </c>
    </row>
    <row r="3" spans="1:4" x14ac:dyDescent="0.2">
      <c r="A3" s="1">
        <v>2009</v>
      </c>
      <c r="B3" s="2">
        <v>135.6</v>
      </c>
      <c r="C3" s="5">
        <v>1741</v>
      </c>
      <c r="D3">
        <v>3545077.9</v>
      </c>
    </row>
    <row r="4" spans="1:4" x14ac:dyDescent="0.2">
      <c r="A4" s="1">
        <v>2010</v>
      </c>
      <c r="B4" s="2">
        <v>139.4</v>
      </c>
      <c r="C4" s="5">
        <v>1789</v>
      </c>
      <c r="D4">
        <v>3870348.8000000003</v>
      </c>
    </row>
    <row r="5" spans="1:4" x14ac:dyDescent="0.2">
      <c r="A5" s="1">
        <v>2011</v>
      </c>
      <c r="B5" s="2">
        <v>144.1</v>
      </c>
      <c r="C5" s="5">
        <v>1806</v>
      </c>
      <c r="D5">
        <v>4240365.6000000006</v>
      </c>
    </row>
    <row r="6" spans="1:4" x14ac:dyDescent="0.2">
      <c r="A6" s="1">
        <v>2012</v>
      </c>
      <c r="B6" s="2">
        <v>144.80000000000001</v>
      </c>
      <c r="C6" s="5">
        <v>1834</v>
      </c>
      <c r="D6">
        <v>4521101.9000000004</v>
      </c>
    </row>
    <row r="7" spans="1:4" x14ac:dyDescent="0.2">
      <c r="A7" s="1">
        <v>2013</v>
      </c>
      <c r="B7" s="2">
        <v>146.19999999999999</v>
      </c>
      <c r="C7" s="5">
        <v>1881</v>
      </c>
      <c r="D7">
        <v>4746303.2</v>
      </c>
    </row>
    <row r="8" spans="1:4" x14ac:dyDescent="0.2">
      <c r="A8" s="1">
        <v>2014</v>
      </c>
      <c r="B8" s="2">
        <v>147.69999999999999</v>
      </c>
      <c r="C8" s="5">
        <v>1939</v>
      </c>
      <c r="D8">
        <v>5035641</v>
      </c>
    </row>
    <row r="9" spans="1:4" x14ac:dyDescent="0.2">
      <c r="A9" s="1">
        <v>2015</v>
      </c>
      <c r="B9" s="2">
        <v>151.69999999999999</v>
      </c>
      <c r="C9" s="5">
        <v>2042</v>
      </c>
      <c r="D9">
        <v>5468289.2000000002</v>
      </c>
    </row>
    <row r="10" spans="1:4" x14ac:dyDescent="0.2">
      <c r="A10" s="1">
        <v>2016</v>
      </c>
      <c r="B10" s="2">
        <v>162.6</v>
      </c>
      <c r="C10" s="5">
        <v>2070</v>
      </c>
      <c r="D10">
        <v>6010144.2999999998</v>
      </c>
    </row>
    <row r="11" spans="1:4" x14ac:dyDescent="0.2">
      <c r="A11" s="1">
        <v>2017</v>
      </c>
      <c r="B11" s="2">
        <v>170.3</v>
      </c>
      <c r="C11" s="5">
        <v>2087</v>
      </c>
      <c r="D11">
        <v>6539938.9000000004</v>
      </c>
    </row>
    <row r="12" spans="1:4" x14ac:dyDescent="0.2">
      <c r="A12" s="1">
        <v>2018</v>
      </c>
      <c r="B12" s="2">
        <v>173</v>
      </c>
      <c r="C12" s="5">
        <v>2139</v>
      </c>
      <c r="D12">
        <v>7001259.7999999998</v>
      </c>
    </row>
    <row r="13" spans="1:4" x14ac:dyDescent="0.2">
      <c r="A13" s="1">
        <v>2019</v>
      </c>
      <c r="B13" s="2">
        <v>173.7</v>
      </c>
      <c r="C13" s="5">
        <v>2218</v>
      </c>
      <c r="D13">
        <v>7338057.1999999993</v>
      </c>
    </row>
    <row r="14" spans="1:4" x14ac:dyDescent="0.2">
      <c r="A14" s="1">
        <v>2020</v>
      </c>
      <c r="B14" s="2">
        <v>182.9</v>
      </c>
      <c r="C14" s="5">
        <v>2280</v>
      </c>
      <c r="D14">
        <v>7875222.2999999998</v>
      </c>
    </row>
    <row r="15" spans="1:4" x14ac:dyDescent="0.2">
      <c r="A15" s="1">
        <v>2021</v>
      </c>
      <c r="B15" s="2">
        <v>194.3</v>
      </c>
      <c r="C15" s="5">
        <v>2307</v>
      </c>
      <c r="D15">
        <v>8733108</v>
      </c>
    </row>
    <row r="16" spans="1:4" x14ac:dyDescent="0.2">
      <c r="A16" s="1">
        <v>2022</v>
      </c>
      <c r="B16" s="2">
        <v>191.4</v>
      </c>
      <c r="C16" s="5">
        <v>2316</v>
      </c>
      <c r="D16">
        <v>9239028.8000000007</v>
      </c>
    </row>
    <row r="17" spans="1:4" x14ac:dyDescent="0.2">
      <c r="A17" s="1">
        <v>2023</v>
      </c>
      <c r="B17" s="2">
        <v>186.5</v>
      </c>
      <c r="C17" s="5">
        <v>2281</v>
      </c>
      <c r="D17">
        <v>9180645.1999999993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97C9-395F-F34E-B0A1-B3DB8411EFA6}">
  <dimension ref="A1:N70"/>
  <sheetViews>
    <sheetView workbookViewId="0">
      <selection activeCell="L4" activeCellId="15" sqref="L64 L60 L56 L52 L48 L44 L40 L36 L32 L28 L24 L20 L16 L12 L8 L4"/>
    </sheetView>
  </sheetViews>
  <sheetFormatPr baseColWidth="10" defaultRowHeight="16" x14ac:dyDescent="0.2"/>
  <sheetData>
    <row r="1" spans="1:14" ht="17" x14ac:dyDescent="0.2">
      <c r="A1" s="3" t="s">
        <v>0</v>
      </c>
    </row>
    <row r="2" spans="1:14" ht="17" x14ac:dyDescent="0.2">
      <c r="A2" s="4" t="s">
        <v>1</v>
      </c>
    </row>
    <row r="4" spans="1:14" x14ac:dyDescent="0.2">
      <c r="J4" t="s">
        <v>5</v>
      </c>
      <c r="K4">
        <v>813498.6</v>
      </c>
      <c r="L4">
        <f>IF(MOD(ROW(), 4)=0, N4, "")</f>
        <v>3367306.4</v>
      </c>
      <c r="M4" t="str">
        <f>LEFT(J4, 4)</f>
        <v>2008</v>
      </c>
      <c r="N4">
        <f>SUMIFS(K:K, M:M, M4)</f>
        <v>3367306.4</v>
      </c>
    </row>
    <row r="5" spans="1:14" x14ac:dyDescent="0.2">
      <c r="J5" t="s">
        <v>6</v>
      </c>
      <c r="K5">
        <v>838591.9</v>
      </c>
      <c r="L5" t="str">
        <f t="shared" ref="L5:L68" si="0">IF(MOD(ROW(), 4)=0, N5, "")</f>
        <v/>
      </c>
      <c r="M5" t="str">
        <f t="shared" ref="M5:M68" si="1">LEFT(J5, 4)</f>
        <v>2008</v>
      </c>
      <c r="N5">
        <f t="shared" ref="N5:N68" si="2">SUMIFS(K:K, M:M, M5)</f>
        <v>3367306.4</v>
      </c>
    </row>
    <row r="6" spans="1:14" x14ac:dyDescent="0.2">
      <c r="J6" t="s">
        <v>7</v>
      </c>
      <c r="K6">
        <v>856537.00000000012</v>
      </c>
      <c r="L6" t="str">
        <f t="shared" si="0"/>
        <v/>
      </c>
      <c r="M6" t="str">
        <f t="shared" si="1"/>
        <v>2008</v>
      </c>
      <c r="N6">
        <f t="shared" si="2"/>
        <v>3367306.4</v>
      </c>
    </row>
    <row r="7" spans="1:14" x14ac:dyDescent="0.2">
      <c r="J7" t="s">
        <v>8</v>
      </c>
      <c r="K7">
        <v>858678.9</v>
      </c>
      <c r="L7" t="str">
        <f t="shared" si="0"/>
        <v/>
      </c>
      <c r="M7" t="str">
        <f t="shared" si="1"/>
        <v>2008</v>
      </c>
      <c r="N7">
        <f t="shared" si="2"/>
        <v>3367306.4</v>
      </c>
    </row>
    <row r="8" spans="1:14" x14ac:dyDescent="0.2">
      <c r="J8" t="s">
        <v>9</v>
      </c>
      <c r="K8">
        <v>857037.4</v>
      </c>
      <c r="L8">
        <f t="shared" si="0"/>
        <v>3545077.9</v>
      </c>
      <c r="M8" t="str">
        <f t="shared" si="1"/>
        <v>2009</v>
      </c>
      <c r="N8">
        <f t="shared" si="2"/>
        <v>3545077.9</v>
      </c>
    </row>
    <row r="9" spans="1:14" x14ac:dyDescent="0.2">
      <c r="J9" t="s">
        <v>10</v>
      </c>
      <c r="K9">
        <v>876471.2</v>
      </c>
      <c r="L9" t="str">
        <f t="shared" si="0"/>
        <v/>
      </c>
      <c r="M9" t="str">
        <f t="shared" si="1"/>
        <v>2009</v>
      </c>
      <c r="N9">
        <f t="shared" si="2"/>
        <v>3545077.9</v>
      </c>
    </row>
    <row r="10" spans="1:14" x14ac:dyDescent="0.2">
      <c r="J10" t="s">
        <v>11</v>
      </c>
      <c r="K10">
        <v>893316.79999999993</v>
      </c>
      <c r="L10" t="str">
        <f t="shared" si="0"/>
        <v/>
      </c>
      <c r="M10" t="str">
        <f t="shared" si="1"/>
        <v>2009</v>
      </c>
      <c r="N10">
        <f t="shared" si="2"/>
        <v>3545077.9</v>
      </c>
    </row>
    <row r="11" spans="1:14" x14ac:dyDescent="0.2">
      <c r="J11" t="s">
        <v>12</v>
      </c>
      <c r="K11">
        <v>918252.50000000012</v>
      </c>
      <c r="L11" t="str">
        <f t="shared" si="0"/>
        <v/>
      </c>
      <c r="M11" t="str">
        <f t="shared" si="1"/>
        <v>2009</v>
      </c>
      <c r="N11">
        <f t="shared" si="2"/>
        <v>3545077.9</v>
      </c>
    </row>
    <row r="12" spans="1:14" x14ac:dyDescent="0.2">
      <c r="J12" t="s">
        <v>13</v>
      </c>
      <c r="K12">
        <v>935168.9</v>
      </c>
      <c r="L12">
        <f t="shared" si="0"/>
        <v>3870348.8000000003</v>
      </c>
      <c r="M12" t="str">
        <f t="shared" si="1"/>
        <v>2010</v>
      </c>
      <c r="N12">
        <f t="shared" si="2"/>
        <v>3870348.8000000003</v>
      </c>
    </row>
    <row r="13" spans="1:14" x14ac:dyDescent="0.2">
      <c r="J13" t="s">
        <v>14</v>
      </c>
      <c r="K13">
        <v>952984.20000000007</v>
      </c>
      <c r="L13" t="str">
        <f t="shared" si="0"/>
        <v/>
      </c>
      <c r="M13" t="str">
        <f t="shared" si="1"/>
        <v>2010</v>
      </c>
      <c r="N13">
        <f t="shared" si="2"/>
        <v>3870348.8000000003</v>
      </c>
    </row>
    <row r="14" spans="1:14" x14ac:dyDescent="0.2">
      <c r="J14" t="s">
        <v>15</v>
      </c>
      <c r="K14">
        <v>976540</v>
      </c>
      <c r="L14" t="str">
        <f t="shared" si="0"/>
        <v/>
      </c>
      <c r="M14" t="str">
        <f t="shared" si="1"/>
        <v>2010</v>
      </c>
      <c r="N14">
        <f t="shared" si="2"/>
        <v>3870348.8000000003</v>
      </c>
    </row>
    <row r="15" spans="1:14" x14ac:dyDescent="0.2">
      <c r="J15" t="s">
        <v>16</v>
      </c>
      <c r="K15">
        <v>1005655.7000000001</v>
      </c>
      <c r="L15" t="str">
        <f t="shared" si="0"/>
        <v/>
      </c>
      <c r="M15" t="str">
        <f t="shared" si="1"/>
        <v>2010</v>
      </c>
      <c r="N15">
        <f t="shared" si="2"/>
        <v>3870348.8000000003</v>
      </c>
    </row>
    <row r="16" spans="1:14" x14ac:dyDescent="0.2">
      <c r="J16" t="s">
        <v>17</v>
      </c>
      <c r="K16">
        <v>1021278.6</v>
      </c>
      <c r="L16">
        <f t="shared" si="0"/>
        <v>4240365.6000000006</v>
      </c>
      <c r="M16" t="str">
        <f t="shared" si="1"/>
        <v>2011</v>
      </c>
      <c r="N16">
        <f t="shared" si="2"/>
        <v>4240365.6000000006</v>
      </c>
    </row>
    <row r="17" spans="10:14" x14ac:dyDescent="0.2">
      <c r="J17" t="s">
        <v>18</v>
      </c>
      <c r="K17">
        <v>1049184.5</v>
      </c>
      <c r="L17" t="str">
        <f t="shared" si="0"/>
        <v/>
      </c>
      <c r="M17" t="str">
        <f t="shared" si="1"/>
        <v>2011</v>
      </c>
      <c r="N17">
        <f t="shared" si="2"/>
        <v>4240365.6000000006</v>
      </c>
    </row>
    <row r="18" spans="10:14" x14ac:dyDescent="0.2">
      <c r="J18" t="s">
        <v>19</v>
      </c>
      <c r="K18">
        <v>1068432.3</v>
      </c>
      <c r="L18" t="str">
        <f t="shared" si="0"/>
        <v/>
      </c>
      <c r="M18" t="str">
        <f t="shared" si="1"/>
        <v>2011</v>
      </c>
      <c r="N18">
        <f t="shared" si="2"/>
        <v>4240365.6000000006</v>
      </c>
    </row>
    <row r="19" spans="10:14" x14ac:dyDescent="0.2">
      <c r="J19" t="s">
        <v>20</v>
      </c>
      <c r="K19">
        <v>1101470.2</v>
      </c>
      <c r="L19" t="str">
        <f t="shared" si="0"/>
        <v/>
      </c>
      <c r="M19" t="str">
        <f t="shared" si="1"/>
        <v>2011</v>
      </c>
      <c r="N19">
        <f t="shared" si="2"/>
        <v>4240365.6000000006</v>
      </c>
    </row>
    <row r="20" spans="10:14" x14ac:dyDescent="0.2">
      <c r="J20" t="s">
        <v>21</v>
      </c>
      <c r="K20">
        <v>1110054.3</v>
      </c>
      <c r="L20">
        <f t="shared" si="0"/>
        <v>4521101.9000000004</v>
      </c>
      <c r="M20" t="str">
        <f t="shared" si="1"/>
        <v>2012</v>
      </c>
      <c r="N20">
        <f t="shared" si="2"/>
        <v>4521101.9000000004</v>
      </c>
    </row>
    <row r="21" spans="10:14" x14ac:dyDescent="0.2">
      <c r="J21" t="s">
        <v>22</v>
      </c>
      <c r="K21">
        <v>1121406.3999999999</v>
      </c>
      <c r="L21" t="str">
        <f t="shared" si="0"/>
        <v/>
      </c>
      <c r="M21" t="str">
        <f t="shared" si="1"/>
        <v>2012</v>
      </c>
      <c r="N21">
        <f t="shared" si="2"/>
        <v>4521101.9000000004</v>
      </c>
    </row>
    <row r="22" spans="10:14" x14ac:dyDescent="0.2">
      <c r="J22" t="s">
        <v>23</v>
      </c>
      <c r="K22">
        <v>1134685.4000000001</v>
      </c>
      <c r="L22" t="str">
        <f t="shared" si="0"/>
        <v/>
      </c>
      <c r="M22" t="str">
        <f t="shared" si="1"/>
        <v>2012</v>
      </c>
      <c r="N22">
        <f t="shared" si="2"/>
        <v>4521101.9000000004</v>
      </c>
    </row>
    <row r="23" spans="10:14" x14ac:dyDescent="0.2">
      <c r="J23" t="s">
        <v>24</v>
      </c>
      <c r="K23">
        <v>1154955.8</v>
      </c>
      <c r="L23" t="str">
        <f t="shared" si="0"/>
        <v/>
      </c>
      <c r="M23" t="str">
        <f t="shared" si="1"/>
        <v>2012</v>
      </c>
      <c r="N23">
        <f t="shared" si="2"/>
        <v>4521101.9000000004</v>
      </c>
    </row>
    <row r="24" spans="10:14" x14ac:dyDescent="0.2">
      <c r="J24" t="s">
        <v>25</v>
      </c>
      <c r="K24">
        <v>1155584.2000000002</v>
      </c>
      <c r="L24">
        <f t="shared" si="0"/>
        <v>4746303.2</v>
      </c>
      <c r="M24" t="str">
        <f t="shared" si="1"/>
        <v>2013</v>
      </c>
      <c r="N24">
        <f t="shared" si="2"/>
        <v>4746303.2</v>
      </c>
    </row>
    <row r="25" spans="10:14" x14ac:dyDescent="0.2">
      <c r="J25" t="s">
        <v>26</v>
      </c>
      <c r="K25">
        <v>1178112.3</v>
      </c>
      <c r="L25" t="str">
        <f t="shared" si="0"/>
        <v/>
      </c>
      <c r="M25" t="str">
        <f t="shared" si="1"/>
        <v>2013</v>
      </c>
      <c r="N25">
        <f t="shared" si="2"/>
        <v>4746303.2</v>
      </c>
    </row>
    <row r="26" spans="10:14" x14ac:dyDescent="0.2">
      <c r="J26" t="s">
        <v>27</v>
      </c>
      <c r="K26">
        <v>1193418.7000000002</v>
      </c>
      <c r="L26" t="str">
        <f t="shared" si="0"/>
        <v/>
      </c>
      <c r="M26" t="str">
        <f t="shared" si="1"/>
        <v>2013</v>
      </c>
      <c r="N26">
        <f t="shared" si="2"/>
        <v>4746303.2</v>
      </c>
    </row>
    <row r="27" spans="10:14" x14ac:dyDescent="0.2">
      <c r="J27" t="s">
        <v>28</v>
      </c>
      <c r="K27">
        <v>1219188.0000000002</v>
      </c>
      <c r="L27" t="str">
        <f t="shared" si="0"/>
        <v/>
      </c>
      <c r="M27" t="str">
        <f t="shared" si="1"/>
        <v>2013</v>
      </c>
      <c r="N27">
        <f t="shared" si="2"/>
        <v>4746303.2</v>
      </c>
    </row>
    <row r="28" spans="10:14" x14ac:dyDescent="0.2">
      <c r="J28" t="s">
        <v>29</v>
      </c>
      <c r="K28">
        <v>1228371.3000000003</v>
      </c>
      <c r="L28">
        <f t="shared" si="0"/>
        <v>5035641</v>
      </c>
      <c r="M28" t="str">
        <f t="shared" si="1"/>
        <v>2014</v>
      </c>
      <c r="N28">
        <f t="shared" si="2"/>
        <v>5035641</v>
      </c>
    </row>
    <row r="29" spans="10:14" x14ac:dyDescent="0.2">
      <c r="J29" t="s">
        <v>30</v>
      </c>
      <c r="K29">
        <v>1242444.4000000001</v>
      </c>
      <c r="L29" t="str">
        <f t="shared" si="0"/>
        <v/>
      </c>
      <c r="M29" t="str">
        <f t="shared" si="1"/>
        <v>2014</v>
      </c>
      <c r="N29">
        <f t="shared" si="2"/>
        <v>5035641</v>
      </c>
    </row>
    <row r="30" spans="10:14" x14ac:dyDescent="0.2">
      <c r="J30" t="s">
        <v>31</v>
      </c>
      <c r="K30">
        <v>1268745.5</v>
      </c>
      <c r="L30" t="str">
        <f t="shared" si="0"/>
        <v/>
      </c>
      <c r="M30" t="str">
        <f t="shared" si="1"/>
        <v>2014</v>
      </c>
      <c r="N30">
        <f t="shared" si="2"/>
        <v>5035641</v>
      </c>
    </row>
    <row r="31" spans="10:14" x14ac:dyDescent="0.2">
      <c r="J31" t="s">
        <v>32</v>
      </c>
      <c r="K31">
        <v>1296079.8000000003</v>
      </c>
      <c r="L31" t="str">
        <f t="shared" si="0"/>
        <v/>
      </c>
      <c r="M31" t="str">
        <f t="shared" si="1"/>
        <v>2014</v>
      </c>
      <c r="N31">
        <f t="shared" si="2"/>
        <v>5035641</v>
      </c>
    </row>
    <row r="32" spans="10:14" x14ac:dyDescent="0.2">
      <c r="J32" t="s">
        <v>33</v>
      </c>
      <c r="K32">
        <v>1312328.6000000001</v>
      </c>
      <c r="L32">
        <f t="shared" si="0"/>
        <v>5468289.2000000002</v>
      </c>
      <c r="M32" t="str">
        <f t="shared" si="1"/>
        <v>2015</v>
      </c>
      <c r="N32">
        <f t="shared" si="2"/>
        <v>5468289.2000000002</v>
      </c>
    </row>
    <row r="33" spans="10:14" x14ac:dyDescent="0.2">
      <c r="J33" t="s">
        <v>34</v>
      </c>
      <c r="K33">
        <v>1347245</v>
      </c>
      <c r="L33" t="str">
        <f t="shared" si="0"/>
        <v/>
      </c>
      <c r="M33" t="str">
        <f t="shared" si="1"/>
        <v>2015</v>
      </c>
      <c r="N33">
        <f t="shared" si="2"/>
        <v>5468289.2000000002</v>
      </c>
    </row>
    <row r="34" spans="10:14" x14ac:dyDescent="0.2">
      <c r="J34" t="s">
        <v>35</v>
      </c>
      <c r="K34">
        <v>1385697</v>
      </c>
      <c r="L34" t="str">
        <f t="shared" si="0"/>
        <v/>
      </c>
      <c r="M34" t="str">
        <f t="shared" si="1"/>
        <v>2015</v>
      </c>
      <c r="N34">
        <f t="shared" si="2"/>
        <v>5468289.2000000002</v>
      </c>
    </row>
    <row r="35" spans="10:14" x14ac:dyDescent="0.2">
      <c r="J35" t="s">
        <v>36</v>
      </c>
      <c r="K35">
        <v>1423018.6000000003</v>
      </c>
      <c r="L35" t="str">
        <f t="shared" si="0"/>
        <v/>
      </c>
      <c r="M35" t="str">
        <f t="shared" si="1"/>
        <v>2015</v>
      </c>
      <c r="N35">
        <f t="shared" si="2"/>
        <v>5468289.2000000002</v>
      </c>
    </row>
    <row r="36" spans="10:14" x14ac:dyDescent="0.2">
      <c r="J36" t="s">
        <v>37</v>
      </c>
      <c r="K36">
        <v>1444875.5</v>
      </c>
      <c r="L36">
        <f t="shared" si="0"/>
        <v>6010144.2999999998</v>
      </c>
      <c r="M36" t="str">
        <f t="shared" si="1"/>
        <v>2016</v>
      </c>
      <c r="N36">
        <f t="shared" si="2"/>
        <v>6010144.2999999998</v>
      </c>
    </row>
    <row r="37" spans="10:14" x14ac:dyDescent="0.2">
      <c r="J37" t="s">
        <v>38</v>
      </c>
      <c r="K37">
        <v>1480590.1</v>
      </c>
      <c r="L37" t="str">
        <f t="shared" si="0"/>
        <v/>
      </c>
      <c r="M37" t="str">
        <f t="shared" si="1"/>
        <v>2016</v>
      </c>
      <c r="N37">
        <f t="shared" si="2"/>
        <v>6010144.2999999998</v>
      </c>
    </row>
    <row r="38" spans="10:14" x14ac:dyDescent="0.2">
      <c r="J38" t="s">
        <v>39</v>
      </c>
      <c r="K38">
        <v>1517892.4</v>
      </c>
      <c r="L38" t="str">
        <f t="shared" si="0"/>
        <v/>
      </c>
      <c r="M38" t="str">
        <f t="shared" si="1"/>
        <v>2016</v>
      </c>
      <c r="N38">
        <f t="shared" si="2"/>
        <v>6010144.2999999998</v>
      </c>
    </row>
    <row r="39" spans="10:14" x14ac:dyDescent="0.2">
      <c r="J39" t="s">
        <v>40</v>
      </c>
      <c r="K39">
        <v>1566786.3</v>
      </c>
      <c r="L39" t="str">
        <f t="shared" si="0"/>
        <v/>
      </c>
      <c r="M39" t="str">
        <f t="shared" si="1"/>
        <v>2016</v>
      </c>
      <c r="N39">
        <f t="shared" si="2"/>
        <v>6010144.2999999998</v>
      </c>
    </row>
    <row r="40" spans="10:14" x14ac:dyDescent="0.2">
      <c r="J40" t="s">
        <v>41</v>
      </c>
      <c r="K40">
        <v>1585045.7000000002</v>
      </c>
      <c r="L40">
        <f t="shared" si="0"/>
        <v>6539938.9000000004</v>
      </c>
      <c r="M40" t="str">
        <f t="shared" si="1"/>
        <v>2017</v>
      </c>
      <c r="N40">
        <f t="shared" si="2"/>
        <v>6539938.9000000004</v>
      </c>
    </row>
    <row r="41" spans="10:14" x14ac:dyDescent="0.2">
      <c r="J41" t="s">
        <v>42</v>
      </c>
      <c r="K41">
        <v>1613822.7</v>
      </c>
      <c r="L41" t="str">
        <f t="shared" si="0"/>
        <v/>
      </c>
      <c r="M41" t="str">
        <f t="shared" si="1"/>
        <v>2017</v>
      </c>
      <c r="N41">
        <f t="shared" si="2"/>
        <v>6539938.9000000004</v>
      </c>
    </row>
    <row r="42" spans="10:14" x14ac:dyDescent="0.2">
      <c r="J42" t="s">
        <v>43</v>
      </c>
      <c r="K42">
        <v>1653043</v>
      </c>
      <c r="L42" t="str">
        <f t="shared" si="0"/>
        <v/>
      </c>
      <c r="M42" t="str">
        <f t="shared" si="1"/>
        <v>2017</v>
      </c>
      <c r="N42">
        <f t="shared" si="2"/>
        <v>6539938.9000000004</v>
      </c>
    </row>
    <row r="43" spans="10:14" x14ac:dyDescent="0.2">
      <c r="J43" t="s">
        <v>44</v>
      </c>
      <c r="K43">
        <v>1688027.5</v>
      </c>
      <c r="L43" t="str">
        <f t="shared" si="0"/>
        <v/>
      </c>
      <c r="M43" t="str">
        <f t="shared" si="1"/>
        <v>2017</v>
      </c>
      <c r="N43">
        <f t="shared" si="2"/>
        <v>6539938.9000000004</v>
      </c>
    </row>
    <row r="44" spans="10:14" x14ac:dyDescent="0.2">
      <c r="J44" t="s">
        <v>45</v>
      </c>
      <c r="K44">
        <v>1710665.2</v>
      </c>
      <c r="L44">
        <f t="shared" si="0"/>
        <v>7001259.7999999998</v>
      </c>
      <c r="M44" t="str">
        <f t="shared" si="1"/>
        <v>2018</v>
      </c>
      <c r="N44">
        <f t="shared" si="2"/>
        <v>7001259.7999999998</v>
      </c>
    </row>
    <row r="45" spans="10:14" x14ac:dyDescent="0.2">
      <c r="J45" t="s">
        <v>46</v>
      </c>
      <c r="K45">
        <v>1737284.8</v>
      </c>
      <c r="L45" t="str">
        <f t="shared" si="0"/>
        <v/>
      </c>
      <c r="M45" t="str">
        <f t="shared" si="1"/>
        <v>2018</v>
      </c>
      <c r="N45">
        <f t="shared" si="2"/>
        <v>7001259.7999999998</v>
      </c>
    </row>
    <row r="46" spans="10:14" x14ac:dyDescent="0.2">
      <c r="J46" t="s">
        <v>47</v>
      </c>
      <c r="K46">
        <v>1763155.7999999998</v>
      </c>
      <c r="L46" t="str">
        <f t="shared" si="0"/>
        <v/>
      </c>
      <c r="M46" t="str">
        <f t="shared" si="1"/>
        <v>2018</v>
      </c>
      <c r="N46">
        <f t="shared" si="2"/>
        <v>7001259.7999999998</v>
      </c>
    </row>
    <row r="47" spans="10:14" x14ac:dyDescent="0.2">
      <c r="J47" t="s">
        <v>48</v>
      </c>
      <c r="K47">
        <v>1790154</v>
      </c>
      <c r="L47" t="str">
        <f t="shared" si="0"/>
        <v/>
      </c>
      <c r="M47" t="str">
        <f t="shared" si="1"/>
        <v>2018</v>
      </c>
      <c r="N47">
        <f t="shared" si="2"/>
        <v>7001259.7999999998</v>
      </c>
    </row>
    <row r="48" spans="10:14" x14ac:dyDescent="0.2">
      <c r="J48" t="s">
        <v>49</v>
      </c>
      <c r="K48">
        <v>1797945.5999999999</v>
      </c>
      <c r="L48">
        <f t="shared" si="0"/>
        <v>7338057.1999999993</v>
      </c>
      <c r="M48" t="str">
        <f t="shared" si="1"/>
        <v>2019</v>
      </c>
      <c r="N48">
        <f t="shared" si="2"/>
        <v>7338057.1999999993</v>
      </c>
    </row>
    <row r="49" spans="10:14" x14ac:dyDescent="0.2">
      <c r="J49" t="s">
        <v>50</v>
      </c>
      <c r="K49">
        <v>1818561.0999999999</v>
      </c>
      <c r="L49" t="str">
        <f t="shared" si="0"/>
        <v/>
      </c>
      <c r="M49" t="str">
        <f t="shared" si="1"/>
        <v>2019</v>
      </c>
      <c r="N49">
        <f t="shared" si="2"/>
        <v>7338057.1999999993</v>
      </c>
    </row>
    <row r="50" spans="10:14" x14ac:dyDescent="0.2">
      <c r="J50" t="s">
        <v>51</v>
      </c>
      <c r="K50">
        <v>1842645.6</v>
      </c>
      <c r="L50" t="str">
        <f t="shared" si="0"/>
        <v/>
      </c>
      <c r="M50" t="str">
        <f t="shared" si="1"/>
        <v>2019</v>
      </c>
      <c r="N50">
        <f t="shared" si="2"/>
        <v>7338057.1999999993</v>
      </c>
    </row>
    <row r="51" spans="10:14" x14ac:dyDescent="0.2">
      <c r="J51" t="s">
        <v>52</v>
      </c>
      <c r="K51">
        <v>1878904.9</v>
      </c>
      <c r="L51" t="str">
        <f t="shared" si="0"/>
        <v/>
      </c>
      <c r="M51" t="str">
        <f t="shared" si="1"/>
        <v>2019</v>
      </c>
      <c r="N51">
        <f t="shared" si="2"/>
        <v>7338057.1999999993</v>
      </c>
    </row>
    <row r="52" spans="10:14" x14ac:dyDescent="0.2">
      <c r="J52" t="s">
        <v>53</v>
      </c>
      <c r="K52">
        <v>1894139.2000000002</v>
      </c>
      <c r="L52">
        <f t="shared" si="0"/>
        <v>7875222.2999999998</v>
      </c>
      <c r="M52" t="str">
        <f t="shared" si="1"/>
        <v>2020</v>
      </c>
      <c r="N52">
        <f t="shared" si="2"/>
        <v>7875222.2999999998</v>
      </c>
    </row>
    <row r="53" spans="10:14" x14ac:dyDescent="0.2">
      <c r="J53" t="s">
        <v>54</v>
      </c>
      <c r="K53">
        <v>1939279.9</v>
      </c>
      <c r="L53" t="str">
        <f t="shared" si="0"/>
        <v/>
      </c>
      <c r="M53" t="str">
        <f t="shared" si="1"/>
        <v>2020</v>
      </c>
      <c r="N53">
        <f t="shared" si="2"/>
        <v>7875222.2999999998</v>
      </c>
    </row>
    <row r="54" spans="10:14" x14ac:dyDescent="0.2">
      <c r="J54" t="s">
        <v>55</v>
      </c>
      <c r="K54">
        <v>1991755.9999999998</v>
      </c>
      <c r="L54" t="str">
        <f t="shared" si="0"/>
        <v/>
      </c>
      <c r="M54" t="str">
        <f t="shared" si="1"/>
        <v>2020</v>
      </c>
      <c r="N54">
        <f t="shared" si="2"/>
        <v>7875222.2999999998</v>
      </c>
    </row>
    <row r="55" spans="10:14" x14ac:dyDescent="0.2">
      <c r="J55" t="s">
        <v>56</v>
      </c>
      <c r="K55">
        <v>2050047.2</v>
      </c>
      <c r="L55" t="str">
        <f t="shared" si="0"/>
        <v/>
      </c>
      <c r="M55" t="str">
        <f t="shared" si="1"/>
        <v>2020</v>
      </c>
      <c r="N55">
        <f t="shared" si="2"/>
        <v>7875222.2999999998</v>
      </c>
    </row>
    <row r="56" spans="10:14" x14ac:dyDescent="0.2">
      <c r="J56" t="s">
        <v>57</v>
      </c>
      <c r="K56">
        <v>2104593.1</v>
      </c>
      <c r="L56">
        <f t="shared" si="0"/>
        <v>8733108</v>
      </c>
      <c r="M56" t="str">
        <f t="shared" si="1"/>
        <v>2021</v>
      </c>
      <c r="N56">
        <f t="shared" si="2"/>
        <v>8733108</v>
      </c>
    </row>
    <row r="57" spans="10:14" x14ac:dyDescent="0.2">
      <c r="J57" t="s">
        <v>58</v>
      </c>
      <c r="K57">
        <v>2163089.6999999997</v>
      </c>
      <c r="L57" t="str">
        <f t="shared" si="0"/>
        <v/>
      </c>
      <c r="M57" t="str">
        <f t="shared" si="1"/>
        <v>2021</v>
      </c>
      <c r="N57">
        <f t="shared" si="2"/>
        <v>8733108</v>
      </c>
    </row>
    <row r="58" spans="10:14" x14ac:dyDescent="0.2">
      <c r="J58" t="s">
        <v>59</v>
      </c>
      <c r="K58">
        <v>2214164</v>
      </c>
      <c r="L58" t="str">
        <f t="shared" si="0"/>
        <v/>
      </c>
      <c r="M58" t="str">
        <f t="shared" si="1"/>
        <v>2021</v>
      </c>
      <c r="N58">
        <f t="shared" si="2"/>
        <v>8733108</v>
      </c>
    </row>
    <row r="59" spans="10:14" x14ac:dyDescent="0.2">
      <c r="J59" t="s">
        <v>60</v>
      </c>
      <c r="K59">
        <v>2251261.2000000002</v>
      </c>
      <c r="L59" t="str">
        <f t="shared" si="0"/>
        <v/>
      </c>
      <c r="M59" t="str">
        <f t="shared" si="1"/>
        <v>2021</v>
      </c>
      <c r="N59">
        <f t="shared" si="2"/>
        <v>8733108</v>
      </c>
    </row>
    <row r="60" spans="10:14" x14ac:dyDescent="0.2">
      <c r="J60" t="s">
        <v>61</v>
      </c>
      <c r="K60">
        <v>2275927.5</v>
      </c>
      <c r="L60">
        <f t="shared" si="0"/>
        <v>9239028.8000000007</v>
      </c>
      <c r="M60" t="str">
        <f t="shared" si="1"/>
        <v>2022</v>
      </c>
      <c r="N60">
        <f t="shared" si="2"/>
        <v>9239028.8000000007</v>
      </c>
    </row>
    <row r="61" spans="10:14" x14ac:dyDescent="0.2">
      <c r="J61" t="s">
        <v>62</v>
      </c>
      <c r="K61">
        <v>2309719.7999999998</v>
      </c>
      <c r="L61" t="str">
        <f t="shared" si="0"/>
        <v/>
      </c>
      <c r="M61" t="str">
        <f t="shared" si="1"/>
        <v>2022</v>
      </c>
      <c r="N61">
        <f t="shared" si="2"/>
        <v>9239028.8000000007</v>
      </c>
    </row>
    <row r="62" spans="10:14" x14ac:dyDescent="0.2">
      <c r="J62" t="s">
        <v>63</v>
      </c>
      <c r="K62">
        <v>2323142.5000000005</v>
      </c>
      <c r="L62" t="str">
        <f t="shared" si="0"/>
        <v/>
      </c>
      <c r="M62" t="str">
        <f t="shared" si="1"/>
        <v>2022</v>
      </c>
      <c r="N62">
        <f t="shared" si="2"/>
        <v>9239028.8000000007</v>
      </c>
    </row>
    <row r="63" spans="10:14" x14ac:dyDescent="0.2">
      <c r="J63" t="s">
        <v>64</v>
      </c>
      <c r="K63">
        <v>2330239</v>
      </c>
      <c r="L63" t="str">
        <f t="shared" si="0"/>
        <v/>
      </c>
      <c r="M63" t="str">
        <f t="shared" si="1"/>
        <v>2022</v>
      </c>
      <c r="N63">
        <f t="shared" si="2"/>
        <v>9239028.8000000007</v>
      </c>
    </row>
    <row r="64" spans="10:14" x14ac:dyDescent="0.2">
      <c r="J64" t="s">
        <v>65</v>
      </c>
      <c r="K64">
        <v>2273016.2999999998</v>
      </c>
      <c r="L64">
        <f t="shared" si="0"/>
        <v>9180645.1999999993</v>
      </c>
      <c r="M64" t="str">
        <f t="shared" si="1"/>
        <v>2023</v>
      </c>
      <c r="N64">
        <f t="shared" si="2"/>
        <v>9180645.1999999993</v>
      </c>
    </row>
    <row r="65" spans="10:14" x14ac:dyDescent="0.2">
      <c r="J65" t="s">
        <v>66</v>
      </c>
      <c r="K65">
        <v>2285417.2999999998</v>
      </c>
      <c r="L65" t="str">
        <f t="shared" si="0"/>
        <v/>
      </c>
      <c r="M65" t="str">
        <f t="shared" si="1"/>
        <v>2023</v>
      </c>
      <c r="N65">
        <f t="shared" si="2"/>
        <v>9180645.1999999993</v>
      </c>
    </row>
    <row r="66" spans="10:14" x14ac:dyDescent="0.2">
      <c r="J66" t="s">
        <v>67</v>
      </c>
      <c r="K66">
        <v>2306634.1999999997</v>
      </c>
      <c r="L66" t="str">
        <f t="shared" si="0"/>
        <v/>
      </c>
      <c r="M66" t="str">
        <f t="shared" si="1"/>
        <v>2023</v>
      </c>
      <c r="N66">
        <f t="shared" si="2"/>
        <v>9180645.1999999993</v>
      </c>
    </row>
    <row r="67" spans="10:14" x14ac:dyDescent="0.2">
      <c r="J67" t="s">
        <v>68</v>
      </c>
      <c r="K67">
        <v>2315577.4</v>
      </c>
      <c r="L67" t="str">
        <f t="shared" si="0"/>
        <v/>
      </c>
      <c r="M67" t="str">
        <f t="shared" si="1"/>
        <v>2023</v>
      </c>
      <c r="N67">
        <f t="shared" si="2"/>
        <v>9180645.1999999993</v>
      </c>
    </row>
    <row r="68" spans="10:14" x14ac:dyDescent="0.2">
      <c r="J68" t="s">
        <v>69</v>
      </c>
      <c r="K68">
        <v>2316733.4</v>
      </c>
      <c r="L68">
        <f t="shared" si="0"/>
        <v>7002226.5</v>
      </c>
      <c r="M68" t="str">
        <f t="shared" si="1"/>
        <v>2024</v>
      </c>
      <c r="N68">
        <f t="shared" si="2"/>
        <v>7002226.5</v>
      </c>
    </row>
    <row r="69" spans="10:14" x14ac:dyDescent="0.2">
      <c r="J69" t="s">
        <v>70</v>
      </c>
      <c r="K69">
        <v>2332840.7000000002</v>
      </c>
      <c r="L69" t="str">
        <f t="shared" ref="L69:L70" si="3">IF(MOD(ROW(), 4)=0, N69, "")</f>
        <v/>
      </c>
      <c r="M69" t="str">
        <f t="shared" ref="M69:M70" si="4">LEFT(J69, 4)</f>
        <v>2024</v>
      </c>
      <c r="N69">
        <f t="shared" ref="N69:N70" si="5">SUMIFS(K:K, M:M, M69)</f>
        <v>7002226.5</v>
      </c>
    </row>
    <row r="70" spans="10:14" x14ac:dyDescent="0.2">
      <c r="J70" t="s">
        <v>71</v>
      </c>
      <c r="K70">
        <v>2352652.4000000004</v>
      </c>
      <c r="L70" t="str">
        <f t="shared" si="3"/>
        <v/>
      </c>
      <c r="M70" t="str">
        <f t="shared" si="4"/>
        <v>2024</v>
      </c>
      <c r="N70">
        <f t="shared" si="5"/>
        <v>7002226.5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출처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KyuYeon Hwang</dc:creator>
  <cp:lastModifiedBy>KyuYeon Hwang</cp:lastModifiedBy>
  <dcterms:created xsi:type="dcterms:W3CDTF">2025-04-11T12:56:07Z</dcterms:created>
  <dcterms:modified xsi:type="dcterms:W3CDTF">2025-04-12T03:35:13Z</dcterms:modified>
</cp:coreProperties>
</file>