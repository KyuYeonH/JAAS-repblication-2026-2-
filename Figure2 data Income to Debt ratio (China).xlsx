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yuyeonhwang/Desktop/Dissertation/Data/"/>
    </mc:Choice>
  </mc:AlternateContent>
  <xr:revisionPtr revIDLastSave="0" documentId="13_ncr:1_{BA5B7236-596B-3946-86E0-B18BB9DC9EC1}" xr6:coauthVersionLast="47" xr6:coauthVersionMax="47" xr10:uidLastSave="{00000000-0000-0000-0000-000000000000}"/>
  <bookViews>
    <workbookView xWindow="14120" yWindow="-24840" windowWidth="26840" windowHeight="20640" xr2:uid="{63F47C13-2B92-174C-B85D-C2EE97532A84}"/>
  </bookViews>
  <sheets>
    <sheet name="Sheet1" sheetId="2" r:id="rId1"/>
    <sheet name="계산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/>
  <c r="H16" i="1"/>
  <c r="C3" i="1"/>
  <c r="C4" i="1"/>
  <c r="F4" i="1" s="1"/>
  <c r="H4" i="1" s="1"/>
  <c r="C5" i="1"/>
  <c r="F5" i="1" s="1"/>
  <c r="H5" i="1" s="1"/>
  <c r="I5" i="1" s="1"/>
  <c r="C6" i="1"/>
  <c r="F6" i="1" s="1"/>
  <c r="C7" i="1"/>
  <c r="F7" i="1" s="1"/>
  <c r="H7" i="1" s="1"/>
  <c r="I7" i="1" s="1"/>
  <c r="C8" i="1"/>
  <c r="F8" i="1" s="1"/>
  <c r="H8" i="1" s="1"/>
  <c r="I8" i="1" s="1"/>
  <c r="C9" i="1"/>
  <c r="C10" i="1"/>
  <c r="C11" i="1"/>
  <c r="C12" i="1"/>
  <c r="C13" i="1"/>
  <c r="C14" i="1"/>
  <c r="F14" i="1" s="1"/>
  <c r="H14" i="1" s="1"/>
  <c r="C15" i="1"/>
  <c r="F15" i="1" s="1"/>
  <c r="H15" i="1" s="1"/>
  <c r="I15" i="1" s="1"/>
  <c r="C16" i="1"/>
  <c r="F16" i="1" s="1"/>
  <c r="C17" i="1"/>
  <c r="F17" i="1" s="1"/>
  <c r="H17" i="1" s="1"/>
  <c r="I17" i="1" s="1"/>
  <c r="C18" i="1"/>
  <c r="F18" i="1" s="1"/>
  <c r="H18" i="1" s="1"/>
  <c r="I18" i="1" s="1"/>
  <c r="C19" i="1"/>
  <c r="C2" i="1"/>
  <c r="F2" i="1"/>
  <c r="H2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" i="1"/>
  <c r="I16" i="1" l="1"/>
  <c r="I6" i="1"/>
  <c r="F13" i="1"/>
  <c r="H13" i="1" s="1"/>
  <c r="F3" i="1"/>
  <c r="H3" i="1" s="1"/>
  <c r="I3" i="1" s="1"/>
  <c r="F12" i="1"/>
  <c r="H12" i="1" s="1"/>
  <c r="F11" i="1"/>
  <c r="H11" i="1" s="1"/>
  <c r="F10" i="1"/>
  <c r="H10" i="1" s="1"/>
  <c r="I10" i="1" s="1"/>
  <c r="F19" i="1"/>
  <c r="H19" i="1" s="1"/>
  <c r="I19" i="1" s="1"/>
  <c r="F9" i="1"/>
  <c r="H9" i="1" s="1"/>
  <c r="I9" i="1" s="1"/>
  <c r="I11" i="1" l="1"/>
  <c r="I12" i="1"/>
  <c r="I13" i="1"/>
  <c r="I4" i="1"/>
  <c r="I14" i="1"/>
</calcChain>
</file>

<file path=xl/sharedStrings.xml><?xml version="1.0" encoding="utf-8"?>
<sst xmlns="http://schemas.openxmlformats.org/spreadsheetml/2006/main" count="11" uniqueCount="9">
  <si>
    <t>Year</t>
  </si>
  <si>
    <t>Loans to Resident Sector</t>
  </si>
  <si>
    <t>demo</t>
  </si>
  <si>
    <t>ratio</t>
  </si>
  <si>
    <t>per capita</t>
  </si>
  <si>
    <t>income</t>
  </si>
  <si>
    <t>growth</t>
  </si>
  <si>
    <t>Income to Debt ratio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</si>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</sst>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宋体"/>
      <charset val="134"/>
    </font>
    <font>
      <b/>
      <sz val="12"/>
      <color rgb="FF171717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0D04A-72D9-6E4E-B7B5-A7B352B5838D}">
  <dimension ref="A1:D19"/>
  <sheetViews>
    <sheetView tabSelected="1" workbookViewId="0">
      <selection activeCell="G14" sqref="G14"/>
    </sheetView>
  </sheetViews>
  <sheetFormatPr baseColWidth="10" defaultRowHeight="16"/>
  <cols>
    <col min="2" max="2" width="21.83203125" customWidth="1"/>
  </cols>
  <sheetData>
    <row r="1" spans="1:4">
      <c r="A1" t="s">
        <v>8</v>
      </c>
      <c r="B1" t="s">
        <v>7</v>
      </c>
      <c r="C1" t="s">
        <v>5</v>
      </c>
      <c r="D1" t="s">
        <v>1</v>
      </c>
    </row>
    <row r="2" spans="1:4">
      <c r="A2" s="3">
        <v>2007</v>
      </c>
      <c r="B2">
        <v>48.696924812605651</v>
      </c>
      <c r="C2" s="2">
        <v>8584</v>
      </c>
      <c r="D2">
        <v>552318.25</v>
      </c>
    </row>
    <row r="3" spans="1:4">
      <c r="A3" s="3">
        <v>2008</v>
      </c>
      <c r="B3">
        <v>49.867976674030047</v>
      </c>
      <c r="C3" s="2">
        <v>9957</v>
      </c>
      <c r="D3">
        <v>659409</v>
      </c>
    </row>
    <row r="4" spans="1:4">
      <c r="A4" s="3">
        <v>2009</v>
      </c>
      <c r="B4">
        <v>56.741519522426628</v>
      </c>
      <c r="C4" s="2">
        <v>10977</v>
      </c>
      <c r="D4">
        <v>831195.54</v>
      </c>
    </row>
    <row r="5" spans="1:4">
      <c r="A5" s="3">
        <v>2010</v>
      </c>
      <c r="B5">
        <v>72.442081498085216</v>
      </c>
      <c r="C5" s="2">
        <v>12520</v>
      </c>
      <c r="D5">
        <v>1216171.6599999999</v>
      </c>
    </row>
    <row r="6" spans="1:4">
      <c r="A6" s="3">
        <v>2011</v>
      </c>
      <c r="B6">
        <v>77.287981665193769</v>
      </c>
      <c r="C6" s="2">
        <v>14551</v>
      </c>
      <c r="D6">
        <v>1517288.84</v>
      </c>
    </row>
    <row r="7" spans="1:4">
      <c r="A7" s="3">
        <v>2012</v>
      </c>
      <c r="B7">
        <v>79.549897462747438</v>
      </c>
      <c r="C7" s="2">
        <v>16510</v>
      </c>
      <c r="D7">
        <v>1785157.15</v>
      </c>
    </row>
    <row r="8" spans="1:4">
      <c r="A8" s="3">
        <v>2013</v>
      </c>
      <c r="B8">
        <v>87.687707957440921</v>
      </c>
      <c r="C8" s="2">
        <v>18311</v>
      </c>
      <c r="D8">
        <v>2195340.5</v>
      </c>
    </row>
    <row r="9" spans="1:4">
      <c r="A9" s="3">
        <v>2014</v>
      </c>
      <c r="B9">
        <v>94.038924969962324</v>
      </c>
      <c r="C9" s="2">
        <v>20167</v>
      </c>
      <c r="D9">
        <v>2610432.9900000002</v>
      </c>
    </row>
    <row r="10" spans="1:4">
      <c r="A10" s="3">
        <v>2015</v>
      </c>
      <c r="B10">
        <v>99.649136907609559</v>
      </c>
      <c r="C10" s="2">
        <v>21966</v>
      </c>
      <c r="D10">
        <v>3027808.05</v>
      </c>
    </row>
    <row r="11" spans="1:4">
      <c r="A11" s="3">
        <v>2016</v>
      </c>
      <c r="B11">
        <v>109.50876663371032</v>
      </c>
      <c r="C11" s="2">
        <v>23821</v>
      </c>
      <c r="D11">
        <v>3632017.55</v>
      </c>
    </row>
    <row r="12" spans="1:4">
      <c r="A12" s="3">
        <v>2017</v>
      </c>
      <c r="B12">
        <v>123.3294533678075</v>
      </c>
      <c r="C12" s="2">
        <v>25974</v>
      </c>
      <c r="D12">
        <v>4485055.28</v>
      </c>
    </row>
    <row r="13" spans="1:4">
      <c r="A13" s="3">
        <v>2018</v>
      </c>
      <c r="B13">
        <v>134.66158602844379</v>
      </c>
      <c r="C13" s="2">
        <v>28228</v>
      </c>
      <c r="D13">
        <v>5342282.79</v>
      </c>
    </row>
    <row r="14" spans="1:4">
      <c r="A14" s="3">
        <v>2019</v>
      </c>
      <c r="B14">
        <v>143.67994351587961</v>
      </c>
      <c r="C14" s="2">
        <v>30733</v>
      </c>
      <c r="D14">
        <v>6226512.4000000004</v>
      </c>
    </row>
    <row r="15" spans="1:4">
      <c r="A15" s="3">
        <v>2020</v>
      </c>
      <c r="B15">
        <v>156.46913013455347</v>
      </c>
      <c r="C15" s="2">
        <v>32189</v>
      </c>
      <c r="D15">
        <v>7112262.1699999999</v>
      </c>
    </row>
    <row r="16" spans="1:4">
      <c r="A16" s="3">
        <v>2021</v>
      </c>
      <c r="B16">
        <v>164.04229552855028</v>
      </c>
      <c r="C16" s="2">
        <v>35128</v>
      </c>
      <c r="D16">
        <v>8140076.0800000001</v>
      </c>
    </row>
    <row r="17" spans="1:4">
      <c r="A17" s="3">
        <v>2022</v>
      </c>
      <c r="B17">
        <v>168.9541596558347</v>
      </c>
      <c r="C17" s="2">
        <v>36883</v>
      </c>
      <c r="D17">
        <v>8797371.3300000001</v>
      </c>
    </row>
    <row r="18" spans="1:4">
      <c r="A18" s="3">
        <v>2023</v>
      </c>
      <c r="B18">
        <v>169.92248541632367</v>
      </c>
      <c r="C18" s="2">
        <v>39218</v>
      </c>
      <c r="D18">
        <v>9394069.1199999992</v>
      </c>
    </row>
    <row r="19" spans="1:4">
      <c r="A19" s="3">
        <v>2024</v>
      </c>
      <c r="B19">
        <v>168.25601329250858</v>
      </c>
      <c r="C19" s="2">
        <v>41314</v>
      </c>
      <c r="D19">
        <v>9789417.5099999998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E7115-4D01-D24B-89F3-AB0C41ABB4F1}">
  <dimension ref="A1:I20"/>
  <sheetViews>
    <sheetView workbookViewId="0">
      <selection activeCell="G1" sqref="G1:G19"/>
    </sheetView>
  </sheetViews>
  <sheetFormatPr baseColWidth="10" defaultRowHeight="16"/>
  <cols>
    <col min="2" max="2" width="20.1640625" bestFit="1" customWidth="1"/>
    <col min="3" max="3" width="12.1640625" bestFit="1" customWidth="1"/>
    <col min="5" max="6" width="12.1640625" bestFit="1" customWidth="1"/>
  </cols>
  <sheetData>
    <row r="1" spans="1:9">
      <c r="A1" s="1" t="s">
        <v>0</v>
      </c>
      <c r="B1" s="1" t="s">
        <v>1</v>
      </c>
      <c r="D1" t="s">
        <v>2</v>
      </c>
      <c r="F1" t="s">
        <v>4</v>
      </c>
      <c r="G1" t="s">
        <v>5</v>
      </c>
      <c r="H1" t="s">
        <v>3</v>
      </c>
      <c r="I1" t="s">
        <v>6</v>
      </c>
    </row>
    <row r="2" spans="1:9">
      <c r="A2" s="1">
        <v>2007</v>
      </c>
      <c r="B2">
        <v>552318.25</v>
      </c>
      <c r="C2">
        <f>B2*10000000</f>
        <v>5523182500000</v>
      </c>
      <c r="D2">
        <v>132129</v>
      </c>
      <c r="E2">
        <f>D2*10000</f>
        <v>1321290000</v>
      </c>
      <c r="F2">
        <f>C2/E2</f>
        <v>4180.1440259140691</v>
      </c>
      <c r="G2" s="2">
        <v>8584</v>
      </c>
      <c r="H2">
        <f>F2/G2*100</f>
        <v>48.696924812605651</v>
      </c>
    </row>
    <row r="3" spans="1:9">
      <c r="A3" s="1">
        <v>2008</v>
      </c>
      <c r="B3">
        <v>659409</v>
      </c>
      <c r="C3">
        <f t="shared" ref="C3:C19" si="0">B3*10000000</f>
        <v>6594090000000</v>
      </c>
      <c r="D3">
        <v>132802</v>
      </c>
      <c r="E3">
        <f t="shared" ref="E3:E19" si="1">D3*10000</f>
        <v>1328020000</v>
      </c>
      <c r="F3">
        <f t="shared" ref="F3:F19" si="2">C3/E3</f>
        <v>4965.3544374331714</v>
      </c>
      <c r="G3" s="2">
        <v>9957</v>
      </c>
      <c r="H3">
        <f t="shared" ref="H3:H19" si="3">F3/G3*100</f>
        <v>49.867976674030047</v>
      </c>
      <c r="I3">
        <f>(H3-H2)/H2*100</f>
        <v>2.4047757962762724</v>
      </c>
    </row>
    <row r="4" spans="1:9">
      <c r="A4" s="1">
        <v>2009</v>
      </c>
      <c r="B4">
        <v>831195.54</v>
      </c>
      <c r="C4">
        <f t="shared" si="0"/>
        <v>8311955400000</v>
      </c>
      <c r="D4">
        <v>133450</v>
      </c>
      <c r="E4">
        <f t="shared" si="1"/>
        <v>1334500000</v>
      </c>
      <c r="F4">
        <f t="shared" si="2"/>
        <v>6228.5165979767708</v>
      </c>
      <c r="G4" s="2">
        <v>10977</v>
      </c>
      <c r="H4">
        <f t="shared" si="3"/>
        <v>56.741519522426628</v>
      </c>
      <c r="I4">
        <f t="shared" ref="I4:I19" si="4">(H4-H3)/H3*100</f>
        <v>13.783480515615437</v>
      </c>
    </row>
    <row r="5" spans="1:9">
      <c r="A5" s="1">
        <v>2010</v>
      </c>
      <c r="B5">
        <v>1216171.6599999999</v>
      </c>
      <c r="C5">
        <f t="shared" si="0"/>
        <v>12161716600000</v>
      </c>
      <c r="D5">
        <v>134091</v>
      </c>
      <c r="E5">
        <f t="shared" si="1"/>
        <v>1340910000</v>
      </c>
      <c r="F5">
        <f t="shared" si="2"/>
        <v>9069.7486035602687</v>
      </c>
      <c r="G5" s="2">
        <v>12520</v>
      </c>
      <c r="H5">
        <f t="shared" si="3"/>
        <v>72.442081498085216</v>
      </c>
      <c r="I5">
        <f t="shared" si="4"/>
        <v>27.670323438294712</v>
      </c>
    </row>
    <row r="6" spans="1:9">
      <c r="A6" s="1">
        <v>2011</v>
      </c>
      <c r="B6">
        <v>1517288.84</v>
      </c>
      <c r="C6">
        <f t="shared" si="0"/>
        <v>15172888400000</v>
      </c>
      <c r="D6">
        <v>134916</v>
      </c>
      <c r="E6">
        <f t="shared" si="1"/>
        <v>1349160000</v>
      </c>
      <c r="F6">
        <f t="shared" si="2"/>
        <v>11246.174212102345</v>
      </c>
      <c r="G6" s="2">
        <v>14551</v>
      </c>
      <c r="H6">
        <f t="shared" si="3"/>
        <v>77.287981665193769</v>
      </c>
      <c r="I6">
        <f t="shared" si="4"/>
        <v>6.6893441862747132</v>
      </c>
    </row>
    <row r="7" spans="1:9">
      <c r="A7" s="1">
        <v>2012</v>
      </c>
      <c r="B7">
        <v>1785157.15</v>
      </c>
      <c r="C7">
        <f t="shared" si="0"/>
        <v>17851571500000</v>
      </c>
      <c r="D7">
        <v>135922</v>
      </c>
      <c r="E7">
        <f t="shared" si="1"/>
        <v>1359220000</v>
      </c>
      <c r="F7">
        <f t="shared" si="2"/>
        <v>13133.688071099601</v>
      </c>
      <c r="G7" s="2">
        <v>16510</v>
      </c>
      <c r="H7">
        <f t="shared" si="3"/>
        <v>79.549897462747438</v>
      </c>
      <c r="I7">
        <f t="shared" si="4"/>
        <v>2.9266074088363871</v>
      </c>
    </row>
    <row r="8" spans="1:9">
      <c r="A8" s="1">
        <v>2013</v>
      </c>
      <c r="B8">
        <v>2195340.5</v>
      </c>
      <c r="C8">
        <f t="shared" si="0"/>
        <v>21953405000000</v>
      </c>
      <c r="D8">
        <v>136726</v>
      </c>
      <c r="E8">
        <f t="shared" si="1"/>
        <v>1367260000</v>
      </c>
      <c r="F8">
        <f t="shared" si="2"/>
        <v>16056.496204087007</v>
      </c>
      <c r="G8" s="2">
        <v>18311</v>
      </c>
      <c r="H8">
        <f t="shared" si="3"/>
        <v>87.687707957440921</v>
      </c>
      <c r="I8">
        <f t="shared" si="4"/>
        <v>10.229818961745805</v>
      </c>
    </row>
    <row r="9" spans="1:9">
      <c r="A9" s="1">
        <v>2014</v>
      </c>
      <c r="B9">
        <v>2610432.9900000002</v>
      </c>
      <c r="C9">
        <f t="shared" si="0"/>
        <v>26104329900000.004</v>
      </c>
      <c r="D9">
        <v>137646</v>
      </c>
      <c r="E9">
        <f t="shared" si="1"/>
        <v>1376460000</v>
      </c>
      <c r="F9">
        <f t="shared" si="2"/>
        <v>18964.829998692301</v>
      </c>
      <c r="G9" s="2">
        <v>20167</v>
      </c>
      <c r="H9">
        <f t="shared" si="3"/>
        <v>94.038924969962324</v>
      </c>
      <c r="I9">
        <f t="shared" si="4"/>
        <v>7.2429958091776729</v>
      </c>
    </row>
    <row r="10" spans="1:9">
      <c r="A10" s="1">
        <v>2015</v>
      </c>
      <c r="B10">
        <v>3027808.05</v>
      </c>
      <c r="C10">
        <f t="shared" si="0"/>
        <v>30278080500000</v>
      </c>
      <c r="D10">
        <v>138326</v>
      </c>
      <c r="E10">
        <f t="shared" si="1"/>
        <v>1383260000</v>
      </c>
      <c r="F10">
        <f t="shared" si="2"/>
        <v>21888.929413125516</v>
      </c>
      <c r="G10" s="2">
        <v>21966</v>
      </c>
      <c r="H10">
        <f t="shared" si="3"/>
        <v>99.649136907609559</v>
      </c>
      <c r="I10">
        <f t="shared" si="4"/>
        <v>5.9658401448540967</v>
      </c>
    </row>
    <row r="11" spans="1:9">
      <c r="A11" s="1">
        <v>2016</v>
      </c>
      <c r="B11">
        <v>3632017.55</v>
      </c>
      <c r="C11">
        <f t="shared" si="0"/>
        <v>36320175500000</v>
      </c>
      <c r="D11">
        <v>139232</v>
      </c>
      <c r="E11">
        <f t="shared" si="1"/>
        <v>1392320000</v>
      </c>
      <c r="F11">
        <f t="shared" si="2"/>
        <v>26086.083299816135</v>
      </c>
      <c r="G11" s="2">
        <v>23821</v>
      </c>
      <c r="H11">
        <f t="shared" si="3"/>
        <v>109.50876663371032</v>
      </c>
      <c r="I11">
        <f t="shared" si="4"/>
        <v>9.8943453321047752</v>
      </c>
    </row>
    <row r="12" spans="1:9">
      <c r="A12" s="1">
        <v>2017</v>
      </c>
      <c r="B12">
        <v>4485055.28</v>
      </c>
      <c r="C12">
        <f t="shared" si="0"/>
        <v>44850552800000</v>
      </c>
      <c r="D12">
        <v>140011</v>
      </c>
      <c r="E12">
        <f t="shared" si="1"/>
        <v>1400110000</v>
      </c>
      <c r="F12">
        <f t="shared" si="2"/>
        <v>32033.592217754318</v>
      </c>
      <c r="G12" s="2">
        <v>25974</v>
      </c>
      <c r="H12">
        <f t="shared" si="3"/>
        <v>123.3294533678075</v>
      </c>
      <c r="I12">
        <f t="shared" si="4"/>
        <v>12.620621306351859</v>
      </c>
    </row>
    <row r="13" spans="1:9">
      <c r="A13" s="1">
        <v>2018</v>
      </c>
      <c r="B13">
        <v>5342282.79</v>
      </c>
      <c r="C13">
        <f t="shared" si="0"/>
        <v>53422827900000</v>
      </c>
      <c r="D13">
        <v>140541</v>
      </c>
      <c r="E13">
        <f t="shared" si="1"/>
        <v>1405410000</v>
      </c>
      <c r="F13">
        <f t="shared" si="2"/>
        <v>38012.272504109118</v>
      </c>
      <c r="G13" s="2">
        <v>28228</v>
      </c>
      <c r="H13">
        <f t="shared" si="3"/>
        <v>134.66158602844379</v>
      </c>
      <c r="I13">
        <f t="shared" si="4"/>
        <v>9.1885047336099674</v>
      </c>
    </row>
    <row r="14" spans="1:9">
      <c r="A14" s="1">
        <v>2019</v>
      </c>
      <c r="B14">
        <v>6226512.4000000004</v>
      </c>
      <c r="C14">
        <f t="shared" si="0"/>
        <v>62265124000000</v>
      </c>
      <c r="D14">
        <v>141008</v>
      </c>
      <c r="E14">
        <f t="shared" si="1"/>
        <v>1410080000</v>
      </c>
      <c r="F14">
        <f t="shared" si="2"/>
        <v>44157.157040735277</v>
      </c>
      <c r="G14" s="2">
        <v>30733</v>
      </c>
      <c r="H14">
        <f t="shared" si="3"/>
        <v>143.67994351587961</v>
      </c>
      <c r="I14">
        <f t="shared" si="4"/>
        <v>6.6970527775685973</v>
      </c>
    </row>
    <row r="15" spans="1:9">
      <c r="A15" s="1">
        <v>2020</v>
      </c>
      <c r="B15">
        <v>7112262.1699999999</v>
      </c>
      <c r="C15">
        <f t="shared" si="0"/>
        <v>71122621700000</v>
      </c>
      <c r="D15">
        <v>141212</v>
      </c>
      <c r="E15">
        <f t="shared" si="1"/>
        <v>1412120000</v>
      </c>
      <c r="F15">
        <f t="shared" si="2"/>
        <v>50365.848299011413</v>
      </c>
      <c r="G15" s="2">
        <v>32189</v>
      </c>
      <c r="H15">
        <f t="shared" si="3"/>
        <v>156.46913013455347</v>
      </c>
      <c r="I15">
        <f t="shared" si="4"/>
        <v>8.9011634510145683</v>
      </c>
    </row>
    <row r="16" spans="1:9">
      <c r="A16" s="1">
        <v>2021</v>
      </c>
      <c r="B16">
        <v>8140076.0800000001</v>
      </c>
      <c r="C16">
        <f t="shared" si="0"/>
        <v>81400760800000</v>
      </c>
      <c r="D16">
        <v>141260</v>
      </c>
      <c r="E16">
        <f t="shared" si="1"/>
        <v>1412600000</v>
      </c>
      <c r="F16">
        <f t="shared" si="2"/>
        <v>57624.777573269152</v>
      </c>
      <c r="G16" s="2">
        <v>35128</v>
      </c>
      <c r="H16">
        <f t="shared" si="3"/>
        <v>164.04229552855028</v>
      </c>
      <c r="I16">
        <f t="shared" si="4"/>
        <v>4.8400380237842304</v>
      </c>
    </row>
    <row r="17" spans="1:9">
      <c r="A17" s="1">
        <v>2022</v>
      </c>
      <c r="B17">
        <v>8797371.3300000001</v>
      </c>
      <c r="C17">
        <f t="shared" si="0"/>
        <v>87973713300000</v>
      </c>
      <c r="D17">
        <v>141175</v>
      </c>
      <c r="E17">
        <f t="shared" si="1"/>
        <v>1411750000</v>
      </c>
      <c r="F17">
        <f t="shared" si="2"/>
        <v>62315.362705861517</v>
      </c>
      <c r="G17" s="2">
        <v>36883</v>
      </c>
      <c r="H17">
        <f t="shared" si="3"/>
        <v>168.9541596558347</v>
      </c>
      <c r="I17">
        <f t="shared" si="4"/>
        <v>2.994266881878366</v>
      </c>
    </row>
    <row r="18" spans="1:9">
      <c r="A18" s="1">
        <v>2023</v>
      </c>
      <c r="B18">
        <v>9394069.1199999992</v>
      </c>
      <c r="C18">
        <f t="shared" si="0"/>
        <v>93940691199999.984</v>
      </c>
      <c r="D18">
        <v>140967</v>
      </c>
      <c r="E18">
        <f t="shared" si="1"/>
        <v>1409670000</v>
      </c>
      <c r="F18">
        <f t="shared" si="2"/>
        <v>66640.200330573818</v>
      </c>
      <c r="G18" s="2">
        <v>39218</v>
      </c>
      <c r="H18">
        <f t="shared" si="3"/>
        <v>169.92248541632367</v>
      </c>
      <c r="I18">
        <f t="shared" si="4"/>
        <v>0.57312928102005789</v>
      </c>
    </row>
    <row r="19" spans="1:9">
      <c r="A19" s="1">
        <v>2024</v>
      </c>
      <c r="B19">
        <v>9789417.5099999998</v>
      </c>
      <c r="C19">
        <f t="shared" si="0"/>
        <v>97894175100000</v>
      </c>
      <c r="D19">
        <v>140828</v>
      </c>
      <c r="E19">
        <f t="shared" si="1"/>
        <v>1408280000</v>
      </c>
      <c r="F19">
        <f t="shared" si="2"/>
        <v>69513.289331666994</v>
      </c>
      <c r="G19" s="2">
        <v>41314</v>
      </c>
      <c r="H19">
        <f t="shared" si="3"/>
        <v>168.25601329250858</v>
      </c>
      <c r="I19">
        <f t="shared" si="4"/>
        <v>-0.98072489919865136</v>
      </c>
    </row>
    <row r="20" spans="1:9">
      <c r="G20" s="2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계산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KyuYeon Hwang</dc:creator>
  <cp:lastModifiedBy>KyuYeon Hwang</cp:lastModifiedBy>
  <dcterms:created xsi:type="dcterms:W3CDTF">2025-04-11T12:09:43Z</dcterms:created>
  <dcterms:modified xsi:type="dcterms:W3CDTF">2025-04-12T03:35:43Z</dcterms:modified>
</cp:coreProperties>
</file>